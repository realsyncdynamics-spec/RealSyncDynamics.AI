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ssumptions" sheetId="1" state="visible" r:id="rId1"/>
    <sheet name="2_Tier_Economics" sheetId="2" state="visible" r:id="rId2"/>
    <sheet name="3_Capacity_BreakEven" sheetId="3" state="visible" r:id="rId3"/>
    <sheet name="4_Scaling_Roadmap" sheetId="4" state="visible" r:id="rId4"/>
    <sheet name="5_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\€"/>
    <numFmt numFmtId="165" formatCode="0.0%"/>
    <numFmt numFmtId="166" formatCode="#,##0 \€"/>
  </numFmts>
  <fonts count="7">
    <font>
      <name val="Calibri"/>
      <family val="2"/>
      <color theme="1"/>
      <sz val="11"/>
      <scheme val="minor"/>
    </font>
    <font>
      <name val="Arial"/>
      <b val="1"/>
      <color rgb="FF0A0A0B"/>
      <sz val="13"/>
    </font>
    <font>
      <name val="Arial"/>
      <i val="1"/>
      <color rgb="FF666666"/>
      <sz val="9"/>
    </font>
    <font>
      <name val="Arial"/>
      <b val="1"/>
      <color rgb="FFE2E2E2"/>
      <sz val="11"/>
    </font>
    <font>
      <name val="Arial"/>
      <b val="1"/>
    </font>
    <font>
      <name val="Arial"/>
      <b val="1"/>
      <color rgb="FF0052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0A0A0B"/>
      </patternFill>
    </fill>
    <fill>
      <patternFill patternType="solid">
        <fgColor rgb="FFFFF4B8"/>
      </patternFill>
    </fill>
  </fills>
  <borders count="2">
    <border>
      <left/>
      <right/>
      <top/>
      <bottom/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4" fillId="0" borderId="1" pivotButton="0" quotePrefix="0" xfId="0"/>
    <xf numFmtId="164" fontId="5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166" fontId="5" fillId="3" borderId="1" pivotButton="0" quotePrefix="0" xfId="0"/>
    <xf numFmtId="3" fontId="5" fillId="3" borderId="1" pivotButton="0" quotePrefix="0" xfId="0"/>
    <xf numFmtId="164" fontId="6" fillId="0" borderId="1" pivotButton="0" quotePrefix="0" xfId="0"/>
    <xf numFmtId="165" fontId="6" fillId="0" borderId="1" pivotButton="0" quotePrefix="0" xfId="0"/>
    <xf numFmtId="3" fontId="6" fillId="0" borderId="1" pivotButton="0" quotePrefix="0" xfId="0"/>
    <xf numFmtId="165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50" customWidth="1" min="3" max="3"/>
  </cols>
  <sheetData>
    <row r="1">
      <c r="A1" s="1" t="inlineStr">
        <is>
          <t>Browser-Fleet Economics — Assumptions</t>
        </is>
      </c>
    </row>
    <row r="2">
      <c r="A2" s="2" t="inlineStr">
        <is>
          <t>Gelb hinterlegt = Input. Blau geschrieben. Aendere eine Zahl, alles Folgende rechnet sich neu.</t>
        </is>
      </c>
    </row>
    <row r="4">
      <c r="A4" s="3" t="inlineStr">
        <is>
          <t>INFRASTRUKTUR</t>
        </is>
      </c>
      <c r="B4" s="4" t="n"/>
      <c r="C4" s="5" t="inlineStr"/>
    </row>
    <row r="5">
      <c r="A5" s="6" t="inlineStr">
        <is>
          <t>VPS-Kosten srv1622293 (EUR/Monat)</t>
        </is>
      </c>
      <c r="B5" s="7" t="n">
        <v>60</v>
      </c>
      <c r="C5" s="8" t="inlineStr">
        <is>
          <t>Hostinger KVM-Linie. Bei Plan-Wechsel anpassen.</t>
        </is>
      </c>
    </row>
    <row r="6">
      <c r="A6" s="6" t="inlineStr">
        <is>
          <t>vCPU srv1622293</t>
        </is>
      </c>
      <c r="B6" s="9" t="n">
        <v>4</v>
      </c>
      <c r="C6" s="8" t="inlineStr">
        <is>
          <t>Aktuelle Allokation. PM2 + Playwright + Ollama teilen sich.</t>
        </is>
      </c>
    </row>
    <row r="7">
      <c r="A7" s="6" t="inlineStr">
        <is>
          <t>RAM (GB)</t>
        </is>
      </c>
      <c r="B7" s="9" t="n">
        <v>8</v>
      </c>
      <c r="C7" s="8" t="inlineStr"/>
    </row>
    <row r="8">
      <c r="A8" s="6" t="inlineStr">
        <is>
          <t>Reserviert fuer Ollama (vCPU)</t>
        </is>
      </c>
      <c r="B8" s="9" t="n">
        <v>1</v>
      </c>
      <c r="C8" s="8" t="inlineStr">
        <is>
          <t>qwen3:4b laeuft auf 1 vCPU.</t>
        </is>
      </c>
    </row>
    <row r="9">
      <c r="A9" s="6" t="inlineStr">
        <is>
          <t>Verfuegbare vCPU fuer Scanner</t>
        </is>
      </c>
      <c r="B9" s="10">
        <f>B4-B6</f>
        <v/>
      </c>
      <c r="C9" s="8" t="inlineStr">
        <is>
          <t>auto</t>
        </is>
      </c>
    </row>
    <row r="10">
      <c r="A10" s="6" t="inlineStr">
        <is>
          <t>Parallele Worker pro vCPU</t>
        </is>
      </c>
      <c r="B10" s="9" t="n">
        <v>2</v>
      </c>
      <c r="C10" s="8" t="inlineStr">
        <is>
          <t>Playwright headless mit ~500 MB pro Instanz.</t>
        </is>
      </c>
    </row>
    <row r="11">
      <c r="A11" s="6" t="inlineStr">
        <is>
          <t>Max parallele Scanner</t>
        </is>
      </c>
      <c r="B11" s="10">
        <f>B7*B8</f>
        <v/>
      </c>
      <c r="C11" s="8" t="inlineStr">
        <is>
          <t>auto</t>
        </is>
      </c>
    </row>
    <row r="12">
      <c r="A12" s="3" t="inlineStr">
        <is>
          <t>SCAN-PROFILE</t>
        </is>
      </c>
      <c r="B12" s="4" t="n"/>
      <c r="C12" s="5" t="inlineStr"/>
    </row>
    <row r="13">
      <c r="A13" s="6" t="inlineStr">
        <is>
          <t>Median Scan-Dauer (Sekunden)</t>
        </is>
      </c>
      <c r="B13" s="9" t="n">
        <v>45</v>
      </c>
      <c r="C13" s="8" t="inlineStr">
        <is>
          <t>Inkl. Page-Load, Network-Inventar, Consent-Check.</t>
        </is>
      </c>
    </row>
    <row r="14">
      <c r="A14" s="6" t="inlineStr">
        <is>
          <t>Overhead-Faktor (Retries, Idle, Warm-Up)</t>
        </is>
      </c>
      <c r="B14" s="9" t="n">
        <v>1.5</v>
      </c>
      <c r="C14" s="8" t="inlineStr">
        <is>
          <t>1.5 = 50% Aufschlag. 1.0 = keine Reserve.</t>
        </is>
      </c>
    </row>
    <row r="15">
      <c r="A15" s="6" t="inlineStr">
        <is>
          <t>Effektive Sekunden pro Scan</t>
        </is>
      </c>
      <c r="B15" s="10">
        <f>B11*B12</f>
        <v/>
      </c>
      <c r="C15" s="8" t="inlineStr">
        <is>
          <t>auto</t>
        </is>
      </c>
    </row>
    <row r="16">
      <c r="A16" s="6" t="inlineStr">
        <is>
          <t>Sekunden pro Monat (30 Tage)</t>
        </is>
      </c>
      <c r="B16" s="10">
        <f>30*24*3600</f>
        <v/>
      </c>
      <c r="C16" s="8" t="inlineStr">
        <is>
          <t>auto</t>
        </is>
      </c>
    </row>
    <row r="17">
      <c r="A17" s="6" t="inlineStr">
        <is>
          <t>Max Scans/Monat auf srv1622293</t>
        </is>
      </c>
      <c r="B17" s="11">
        <f>B9*B14/B13</f>
        <v/>
      </c>
      <c r="C17" s="8" t="inlineStr">
        <is>
          <t>auto: parallel_capacity * seconds/month / seconds_per_scan</t>
        </is>
      </c>
    </row>
    <row r="18">
      <c r="A18" s="3" t="inlineStr">
        <is>
          <t>STRIPE &amp; ZAHLUNG</t>
        </is>
      </c>
      <c r="B18" s="4" t="n"/>
      <c r="C18" s="5" t="inlineStr"/>
    </row>
    <row r="19">
      <c r="A19" s="6" t="inlineStr">
        <is>
          <t>Stripe-Gebuehr (Prozent)</t>
        </is>
      </c>
      <c r="B19" s="12" t="n">
        <v>0.014</v>
      </c>
      <c r="C19" s="8" t="inlineStr">
        <is>
          <t>1.4% EU-Karten.</t>
        </is>
      </c>
    </row>
    <row r="20">
      <c r="A20" s="6" t="inlineStr">
        <is>
          <t>Stripe-Gebuehr (Fixum, EUR)</t>
        </is>
      </c>
      <c r="B20" s="12" t="n">
        <v>0.25</v>
      </c>
      <c r="C20" s="8" t="inlineStr"/>
    </row>
    <row r="21">
      <c r="A21" s="3" t="inlineStr">
        <is>
          <t>MIX-ANNAHME</t>
        </is>
      </c>
      <c r="B21" s="4" t="n"/>
      <c r="C21" s="5" t="inlineStr"/>
    </row>
    <row r="22">
      <c r="A22" s="6" t="inlineStr">
        <is>
          <t>Free-Audit-Anteil</t>
        </is>
      </c>
      <c r="B22" s="12" t="n">
        <v>0.6</v>
      </c>
      <c r="C22" s="8" t="inlineStr">
        <is>
          <t>One-time scan. Konvertiert ~5% zu Starter.</t>
        </is>
      </c>
    </row>
    <row r="23">
      <c r="A23" s="6" t="inlineStr">
        <is>
          <t>Starter-Anteil</t>
        </is>
      </c>
      <c r="B23" s="12" t="n">
        <v>0.25</v>
      </c>
      <c r="C23" s="8" t="inlineStr">
        <is>
          <t>1 Domain, monatlicher Re-Scan.</t>
        </is>
      </c>
    </row>
    <row r="24">
      <c r="A24" s="6" t="inlineStr">
        <is>
          <t>Growth-Anteil</t>
        </is>
      </c>
      <c r="B24" s="12" t="n">
        <v>0.1</v>
      </c>
      <c r="C24" s="8" t="inlineStr">
        <is>
          <t>3 Domains, taegliches Monitoring.</t>
        </is>
      </c>
    </row>
    <row r="25">
      <c r="A25" s="6" t="inlineStr">
        <is>
          <t>Agency-Anteil</t>
        </is>
      </c>
      <c r="B25" s="12" t="n">
        <v>0.04</v>
      </c>
      <c r="C25" s="8" t="inlineStr">
        <is>
          <t>10 Kundenseiten, White-Label.</t>
        </is>
      </c>
    </row>
    <row r="26">
      <c r="A26" s="6" t="inlineStr">
        <is>
          <t>Enterprise-Anteil</t>
        </is>
      </c>
      <c r="B26" s="12" t="n">
        <v>0.01</v>
      </c>
      <c r="C26" s="8" t="inlineStr">
        <is>
          <t>Unlimited (Fair-Use Cap unten).</t>
        </is>
      </c>
    </row>
    <row r="27">
      <c r="A27" s="6" t="inlineStr">
        <is>
          <t>Mix-Summe (muss = 100% sein)</t>
        </is>
      </c>
      <c r="B27" s="10">
        <f>SUM(B20:B24)</f>
        <v/>
      </c>
      <c r="C27" s="8" t="inlineStr">
        <is>
          <t>auto</t>
        </is>
      </c>
    </row>
    <row r="28">
      <c r="A28" s="3" t="inlineStr">
        <is>
          <t>ENTERPRISE FAIR-USE</t>
        </is>
      </c>
      <c r="B28" s="4" t="n"/>
      <c r="C28" s="5" t="inlineStr"/>
    </row>
    <row r="29">
      <c r="A29" s="6" t="inlineStr">
        <is>
          <t>Fair-Use Domain-Cap Enterprise</t>
        </is>
      </c>
      <c r="B29" s="9" t="n">
        <v>30</v>
      </c>
      <c r="C29" s="8" t="inlineStr">
        <is>
          <t>Cap fuer Scans-Modellierung. Vertraglich &gt;, im Pricing 'unlimited'.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50" customWidth="1" min="9" max="9"/>
  </cols>
  <sheetData>
    <row r="1">
      <c r="A1" s="1" t="inlineStr">
        <is>
          <t>Pro Tier: Preis, Scan-Volumen, variable Kosten, Marge</t>
        </is>
      </c>
    </row>
    <row r="3">
      <c r="A3" s="13" t="inlineStr">
        <is>
          <t>Tier</t>
        </is>
      </c>
      <c r="B3" s="13" t="inlineStr">
        <is>
          <t>Preis (EUR)</t>
        </is>
      </c>
      <c r="C3" s="13" t="inlineStr">
        <is>
          <t>Domains</t>
        </is>
      </c>
      <c r="D3" s="13" t="inlineStr">
        <is>
          <t>Scans / Monat</t>
        </is>
      </c>
      <c r="E3" s="13" t="inlineStr">
        <is>
          <t>Var. Kosten</t>
        </is>
      </c>
      <c r="F3" s="13" t="inlineStr">
        <is>
          <t>Stripe-Gebuehr</t>
        </is>
      </c>
      <c r="G3" s="13" t="inlineStr">
        <is>
          <t>Deckungsbeitrag</t>
        </is>
      </c>
      <c r="H3" s="13" t="inlineStr">
        <is>
          <t>Marge %</t>
        </is>
      </c>
      <c r="I3" s="13" t="inlineStr">
        <is>
          <t>Modell-Notiz</t>
        </is>
      </c>
    </row>
    <row r="4">
      <c r="A4" s="6" t="inlineStr">
        <is>
          <t>Free Audit</t>
        </is>
      </c>
      <c r="B4" s="14" t="n">
        <v>0</v>
      </c>
      <c r="C4" s="15" t="n">
        <v>1</v>
      </c>
      <c r="D4" s="15" t="n">
        <v>1</v>
      </c>
      <c r="E4" s="16">
        <f>D4*('1_Assumptions'!$B$5/'1_Assumptions'!$B$15)</f>
        <v/>
      </c>
      <c r="F4" s="16">
        <f>IF(B4=0,0,B4*'1_Assumptions'!$B$17+'1_Assumptions'!$B$18)</f>
        <v/>
      </c>
      <c r="G4" s="16">
        <f>B4-E4-F4</f>
        <v/>
      </c>
      <c r="H4" s="17">
        <f>IF(B4=0,0,G4/B4)</f>
        <v/>
      </c>
      <c r="I4" s="2" t="inlineStr">
        <is>
          <t>One-time. Wird nur 1x pro Lead gerechnet.</t>
        </is>
      </c>
    </row>
    <row r="5">
      <c r="A5" s="6" t="inlineStr">
        <is>
          <t>Starter</t>
        </is>
      </c>
      <c r="B5" s="14" t="n">
        <v>49</v>
      </c>
      <c r="C5" s="15" t="n">
        <v>1</v>
      </c>
      <c r="D5" s="15" t="n">
        <v>1</v>
      </c>
      <c r="E5" s="16">
        <f>D5*('1_Assumptions'!$B$5/'1_Assumptions'!$B$15)</f>
        <v/>
      </c>
      <c r="F5" s="16">
        <f>IF(B5=0,0,B5*'1_Assumptions'!$B$17+'1_Assumptions'!$B$18)</f>
        <v/>
      </c>
      <c r="G5" s="16">
        <f>B5-E5-F5</f>
        <v/>
      </c>
      <c r="H5" s="17">
        <f>IF(B5=0,0,G5/B5)</f>
        <v/>
      </c>
      <c r="I5" s="2" t="inlineStr">
        <is>
          <t>Monatlicher Re-Scan, 1 Domain.</t>
        </is>
      </c>
    </row>
    <row r="6">
      <c r="A6" s="6" t="inlineStr">
        <is>
          <t>Growth</t>
        </is>
      </c>
      <c r="B6" s="14" t="n">
        <v>179</v>
      </c>
      <c r="C6" s="15" t="n">
        <v>3</v>
      </c>
      <c r="D6" s="15" t="n">
        <v>90</v>
      </c>
      <c r="E6" s="16">
        <f>D6*('1_Assumptions'!$B$5/'1_Assumptions'!$B$15)</f>
        <v/>
      </c>
      <c r="F6" s="16">
        <f>IF(B6=0,0,B6*'1_Assumptions'!$B$17+'1_Assumptions'!$B$18)</f>
        <v/>
      </c>
      <c r="G6" s="16">
        <f>B6-E6-F6</f>
        <v/>
      </c>
      <c r="H6" s="17">
        <f>IF(B6=0,0,G6/B6)</f>
        <v/>
      </c>
      <c r="I6" s="2" t="inlineStr">
        <is>
          <t>3 Domains * 30 Tage Monitoring = 90 Scans.</t>
        </is>
      </c>
    </row>
    <row r="7">
      <c r="A7" s="6" t="inlineStr">
        <is>
          <t>Agency</t>
        </is>
      </c>
      <c r="B7" s="14" t="n">
        <v>499</v>
      </c>
      <c r="C7" s="15" t="n">
        <v>10</v>
      </c>
      <c r="D7" s="15" t="n">
        <v>300</v>
      </c>
      <c r="E7" s="16">
        <f>D7*('1_Assumptions'!$B$5/'1_Assumptions'!$B$15)</f>
        <v/>
      </c>
      <c r="F7" s="16">
        <f>IF(B7=0,0,B7*'1_Assumptions'!$B$17+'1_Assumptions'!$B$18)</f>
        <v/>
      </c>
      <c r="G7" s="16">
        <f>B7-E7-F7</f>
        <v/>
      </c>
      <c r="H7" s="17">
        <f>IF(B7=0,0,G7/B7)</f>
        <v/>
      </c>
      <c r="I7" s="2" t="inlineStr">
        <is>
          <t>10 Kundenseiten * 30 Tage = 300 Scans.</t>
        </is>
      </c>
    </row>
    <row r="8">
      <c r="A8" s="6" t="inlineStr">
        <is>
          <t>Enterprise</t>
        </is>
      </c>
      <c r="B8" s="14" t="n">
        <v>998</v>
      </c>
      <c r="C8" s="18">
        <f>'1_Assumptions'!$B$27</f>
        <v/>
      </c>
      <c r="D8" s="18">
        <f>C8*30</f>
        <v/>
      </c>
      <c r="E8" s="16">
        <f>D8*('1_Assumptions'!$B$5/'1_Assumptions'!$B$15)</f>
        <v/>
      </c>
      <c r="F8" s="16">
        <f>IF(B8=0,0,B8*'1_Assumptions'!$B$17+'1_Assumptions'!$B$18)</f>
        <v/>
      </c>
      <c r="G8" s="16">
        <f>B8-E8-F8</f>
        <v/>
      </c>
      <c r="H8" s="17">
        <f>IF(B8=0,0,G8/B8)</f>
        <v/>
      </c>
      <c r="I8" s="2" t="inlineStr">
        <is>
          <t>Fair-Use Cap aus Assumptions. Preis-Floor 998 (pricing.ts).</t>
        </is>
      </c>
    </row>
    <row r="10">
      <c r="A10" s="2" t="inlineStr">
        <is>
          <t>Cost-per-scan-Formel: (VPS-Kosten / Max-Scans-pro-Monat) — siehe Sheet 1, Zellen B5 und B15.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</cols>
  <sheetData>
    <row r="1">
      <c r="A1" s="1" t="inlineStr">
        <is>
          <t>Capacity &amp; Break-Even auf srv1622293</t>
        </is>
      </c>
    </row>
    <row r="2">
      <c r="A2" s="2" t="inlineStr">
        <is>
          <t>Gewichtetes Scan-Profil aus Mix-Annahme (Sheet 1) gegen Infrastrukturkapazitaet.</t>
        </is>
      </c>
    </row>
    <row r="4">
      <c r="A4" s="3" t="inlineStr">
        <is>
          <t>MIX (aus Sheet 1)</t>
        </is>
      </c>
      <c r="B4" s="4" t="n"/>
      <c r="C4" s="5" t="inlineStr"/>
    </row>
    <row r="5">
      <c r="A5" s="6" t="inlineStr">
        <is>
          <t>Free-Anteil</t>
        </is>
      </c>
      <c r="B5" s="19">
        <f>'1_Assumptions'!$B$20</f>
        <v/>
      </c>
      <c r="C5" s="8" t="inlineStr"/>
    </row>
    <row r="6">
      <c r="A6" s="6" t="inlineStr">
        <is>
          <t>Starter-Anteil</t>
        </is>
      </c>
      <c r="B6" s="19">
        <f>'1_Assumptions'!$B$21</f>
        <v/>
      </c>
      <c r="C6" s="8" t="inlineStr"/>
    </row>
    <row r="7">
      <c r="A7" s="6" t="inlineStr">
        <is>
          <t>Growth-Anteil</t>
        </is>
      </c>
      <c r="B7" s="19">
        <f>'1_Assumptions'!$B$22</f>
        <v/>
      </c>
      <c r="C7" s="8" t="inlineStr"/>
    </row>
    <row r="8">
      <c r="A8" s="6" t="inlineStr">
        <is>
          <t>Agency-Anteil</t>
        </is>
      </c>
      <c r="B8" s="19">
        <f>'1_Assumptions'!$B$23</f>
        <v/>
      </c>
      <c r="C8" s="8" t="inlineStr"/>
    </row>
    <row r="9">
      <c r="A9" s="6" t="inlineStr">
        <is>
          <t>Enterprise-Anteil</t>
        </is>
      </c>
      <c r="B9" s="19">
        <f>'1_Assumptions'!$B$24</f>
        <v/>
      </c>
      <c r="C9" s="8" t="inlineStr"/>
    </row>
    <row r="10">
      <c r="A10" s="6" t="inlineStr">
        <is>
          <t>Summe (muss 100% sein)</t>
        </is>
      </c>
      <c r="B10" s="19">
        <f>SUM(B5:B9)</f>
        <v/>
      </c>
      <c r="C10" s="8" t="inlineStr">
        <is>
          <t>100% = sauber kalibriert.</t>
        </is>
      </c>
    </row>
    <row r="11">
      <c r="A11" s="3" t="inlineStr">
        <is>
          <t>GEWICHTETER SCAN-BEDARF</t>
        </is>
      </c>
      <c r="B11" s="4" t="n"/>
      <c r="C11" s="5" t="inlineStr"/>
    </row>
    <row r="12">
      <c r="A12" s="6" t="inlineStr">
        <is>
          <t>Avg Scans / Tenant / Monat</t>
        </is>
      </c>
      <c r="B12" s="11">
        <f>B5*'2_Tier_Economics'!D4 + B6*'2_Tier_Economics'!D5 + B7*'2_Tier_Economics'!D6 + B8*'2_Tier_Economics'!D7 + B9*'2_Tier_Economics'!D8</f>
        <v/>
      </c>
      <c r="C12" s="8" t="inlineStr">
        <is>
          <t>Erwartungswert ueber alle Tiers.</t>
        </is>
      </c>
    </row>
    <row r="13">
      <c r="A13" s="6" t="inlineStr">
        <is>
          <t>Max Scans / Monat (Infra-Cap)</t>
        </is>
      </c>
      <c r="B13" s="11">
        <f>'1_Assumptions'!$B$15</f>
        <v/>
      </c>
      <c r="C13" s="8" t="inlineStr">
        <is>
          <t>Sheet 1, B15.</t>
        </is>
      </c>
    </row>
    <row r="14">
      <c r="A14" s="6" t="inlineStr">
        <is>
          <t>Max Tenants auf srv1622293 (theoretisch)</t>
        </is>
      </c>
      <c r="B14" s="11">
        <f>B12/B11</f>
        <v/>
      </c>
      <c r="C14" s="8" t="inlineStr">
        <is>
          <t>Bei aktuellem Mix.</t>
        </is>
      </c>
    </row>
    <row r="15">
      <c r="A15" s="6" t="inlineStr">
        <is>
          <t>Sicherheitsabschlag (Spike-Reserve)</t>
        </is>
      </c>
      <c r="B15" s="12" t="n">
        <v>0.7</v>
      </c>
      <c r="C15" s="8" t="inlineStr">
        <is>
          <t>70% nutzbar lassen 30% Headroom fuer Spikes.</t>
        </is>
      </c>
    </row>
    <row r="16">
      <c r="A16" s="6" t="inlineStr">
        <is>
          <t>Max Tenants empfohlen</t>
        </is>
      </c>
      <c r="B16" s="11">
        <f>B13*B14</f>
        <v/>
      </c>
      <c r="C16" s="8" t="inlineStr">
        <is>
          <t>auto</t>
        </is>
      </c>
    </row>
    <row r="17">
      <c r="A17" s="3" t="inlineStr">
        <is>
          <t>BREAK-EVEN</t>
        </is>
      </c>
      <c r="B17" s="4" t="n"/>
      <c r="C17" s="5" t="inlineStr"/>
    </row>
    <row r="18">
      <c r="A18" s="6" t="inlineStr">
        <is>
          <t>Fixkosten / Monat (VPS + Domains + Supabase)</t>
        </is>
      </c>
      <c r="B18" s="7" t="n">
        <v>200</v>
      </c>
      <c r="C18" s="8" t="inlineStr">
        <is>
          <t>Aus ADR-001: &lt; 200 EUR/Mo total.</t>
        </is>
      </c>
    </row>
    <row r="19">
      <c r="A19" s="6" t="inlineStr">
        <is>
          <t>Avg Deckungsbeitrag / Tenant</t>
        </is>
      </c>
      <c r="B19" s="20">
        <f>B5*'2_Tier_Economics'!G4 + B6*'2_Tier_Economics'!G5 + B7*'2_Tier_Economics'!G6 + B8*'2_Tier_Economics'!G7 + B9*'2_Tier_Economics'!G8</f>
        <v/>
      </c>
      <c r="C19" s="8" t="inlineStr">
        <is>
          <t>Gewichteter Deckungsbeitrag aus Sheet 2 Spalte G.</t>
        </is>
      </c>
    </row>
    <row r="20">
      <c r="A20" s="6" t="inlineStr">
        <is>
          <t>Break-Even Tenant-Anzahl</t>
        </is>
      </c>
      <c r="B20" s="11">
        <f>B17/B18</f>
        <v/>
      </c>
      <c r="C20" s="8">
        <f> Fixkosten / Avg-DB.</f>
        <v/>
      </c>
    </row>
    <row r="21">
      <c r="A21" s="3" t="inlineStr">
        <is>
          <t>HEADROOM</t>
        </is>
      </c>
      <c r="B21" s="4" t="n"/>
      <c r="C21" s="5" t="inlineStr"/>
    </row>
    <row r="22">
      <c r="A22" s="6" t="inlineStr">
        <is>
          <t>Headroom bis Migration (Tenants)</t>
        </is>
      </c>
      <c r="B22" s="11">
        <f>B15-B19</f>
        <v/>
      </c>
      <c r="C22" s="8" t="inlineStr">
        <is>
          <t>Wieviele Tenants ueber Break-Even hinaus auf srv1622293 passen.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8" customWidth="1" min="4" max="4"/>
    <col width="14" customWidth="1" min="5" max="5"/>
    <col width="38" customWidth="1" min="6" max="6"/>
  </cols>
  <sheetData>
    <row r="1">
      <c r="A1" s="1" t="inlineStr">
        <is>
          <t>Scaling Roadmap — 5 Phasen, ADR-001-Trigger</t>
        </is>
      </c>
    </row>
    <row r="3">
      <c r="A3" s="13" t="inlineStr">
        <is>
          <t>Phase</t>
        </is>
      </c>
      <c r="B3" s="13" t="inlineStr">
        <is>
          <t>Tenant-Range</t>
        </is>
      </c>
      <c r="C3" s="13" t="inlineStr">
        <is>
          <t>Infrastruktur</t>
        </is>
      </c>
      <c r="D3" s="13" t="inlineStr">
        <is>
          <t>Worker-Pool</t>
        </is>
      </c>
      <c r="E3" s="13" t="inlineStr">
        <is>
          <t>Mtl. Kosten</t>
        </is>
      </c>
      <c r="F3" s="13" t="inlineStr">
        <is>
          <t>Migrations-Trigger</t>
        </is>
      </c>
    </row>
    <row r="4" ht="38" customHeight="1">
      <c r="A4" s="21" t="inlineStr">
        <is>
          <t>Phase 1 — Bootstrap</t>
        </is>
      </c>
      <c r="B4" s="22" t="inlineStr">
        <is>
          <t>0 – 50</t>
        </is>
      </c>
      <c r="C4" s="22" t="inlineStr">
        <is>
          <t>1 VPS (srv1622293)</t>
        </is>
      </c>
      <c r="D4" s="22" t="inlineStr">
        <is>
          <t>PM2 + systemd, 4–8 parallele Worker</t>
        </is>
      </c>
      <c r="E4" s="22" t="inlineStr">
        <is>
          <t>&lt; 200 EUR</t>
        </is>
      </c>
      <c r="F4" s="22" t="inlineStr">
        <is>
          <t>—</t>
        </is>
      </c>
    </row>
    <row r="5" ht="38" customHeight="1">
      <c r="A5" s="21" t="inlineStr">
        <is>
          <t>Phase 2 — Co-Pilot</t>
        </is>
      </c>
      <c r="B5" s="22" t="inlineStr">
        <is>
          <t>50 – 200</t>
        </is>
      </c>
      <c r="C5" s="22" t="inlineStr">
        <is>
          <t>+ 2. VPS, Docker Compose</t>
        </is>
      </c>
      <c r="D5" s="22" t="inlineStr">
        <is>
          <t>Round-Robin via Traefik</t>
        </is>
      </c>
      <c r="E5" s="22" t="inlineStr">
        <is>
          <t>&lt; 500 EUR</t>
        </is>
      </c>
      <c r="F5" s="22" t="inlineStr">
        <is>
          <t>Trigger D: &gt; 8 parallele Worker sustained</t>
        </is>
      </c>
    </row>
    <row r="6" ht="38" customHeight="1">
      <c r="A6" s="21" t="inlineStr">
        <is>
          <t>Phase 3 — NATS-Cutover</t>
        </is>
      </c>
      <c r="B6" s="22" t="inlineStr">
        <is>
          <t>200 – 500</t>
        </is>
      </c>
      <c r="C6" s="22" t="inlineStr">
        <is>
          <t>+ NATS JetStream</t>
        </is>
      </c>
      <c r="D6" s="22" t="inlineStr">
        <is>
          <t>Bus-getriebene Worker, kein LISTEN/NOTIFY mehr</t>
        </is>
      </c>
      <c r="E6" s="22" t="inlineStr">
        <is>
          <t>&lt; 1.500 EUR</t>
        </is>
      </c>
      <c r="F6" s="22" t="inlineStr">
        <is>
          <t>Trigger A: &gt; 5M Events/Tag oder p95 LISTEN &gt; 500ms</t>
        </is>
      </c>
    </row>
    <row r="7" ht="38" customHeight="1">
      <c r="A7" s="21" t="inlineStr">
        <is>
          <t>Phase 4 — Schema-per-Tenant</t>
        </is>
      </c>
      <c r="B7" s="22" t="inlineStr">
        <is>
          <t>500 – 1.000</t>
        </is>
      </c>
      <c r="C7" s="22" t="inlineStr">
        <is>
          <t>Postgres-Schema-Split, ggf. dedizierte DB pro Enterprise</t>
        </is>
      </c>
      <c r="D7" s="22" t="inlineStr">
        <is>
          <t>Dedizierte Worker-Pools fuer Enterprise</t>
        </is>
      </c>
      <c r="E7" s="22" t="inlineStr">
        <is>
          <t>&lt; 4.000 EUR</t>
        </is>
      </c>
      <c r="F7" s="22" t="inlineStr">
        <is>
          <t>Trigger C: &gt; 200 aktive Tenants oder p95-RLS &gt; 300ms</t>
        </is>
      </c>
    </row>
    <row r="8" ht="38" customHeight="1">
      <c r="A8" s="21" t="inlineStr">
        <is>
          <t>Phase 5 — Multi-Region EU</t>
        </is>
      </c>
      <c r="B8" s="22" t="inlineStr">
        <is>
          <t>1.000+</t>
        </is>
      </c>
      <c r="C8" s="22" t="inlineStr">
        <is>
          <t>Frankfurt + Paris/Stockholm, K8s (managed) oder Hetzner/OVH</t>
        </is>
      </c>
      <c r="D8" s="22" t="inlineStr">
        <is>
          <t>K8s-Operator fuer Worker-Lifecycle</t>
        </is>
      </c>
      <c r="E8" s="22" t="inlineStr">
        <is>
          <t>&gt; 8.000 EUR</t>
        </is>
      </c>
      <c r="F8" s="22" t="inlineStr">
        <is>
          <t>Trigger D: &gt; 4 Worker-VPS UND DevOps-Headcount</t>
        </is>
      </c>
    </row>
    <row r="10">
      <c r="A10" s="2" t="inlineStr">
        <is>
          <t>Trigger-Details: docs/adr/ADR-001-event-backbone.md §4.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0" customWidth="1" min="3" max="3"/>
  </cols>
  <sheetData>
    <row r="1">
      <c r="A1" s="1" t="inlineStr">
        <is>
          <t>Operative Empfehlungen aus dem Modell</t>
        </is>
      </c>
    </row>
    <row r="3">
      <c r="A3" s="13" t="inlineStr">
        <is>
          <t>#</t>
        </is>
      </c>
      <c r="B3" s="13" t="inlineStr">
        <is>
          <t>Empfehlung</t>
        </is>
      </c>
      <c r="C3" s="13" t="inlineStr">
        <is>
          <t>Begruendung &amp; Aktion</t>
        </is>
      </c>
    </row>
    <row r="4" ht="56" customHeight="1">
      <c r="A4" s="23" t="n">
        <v>1</v>
      </c>
      <c r="B4" s="21" t="inlineStr">
        <is>
          <t>Free-Tier hart limitieren</t>
        </is>
      </c>
      <c r="C4" s="22" t="inlineStr">
        <is>
          <t>Free-Audit ist Lead-Generator. Bei &gt; 60% Mix-Anteil wird er zum Kostenfresser. Aktion: kein Account, kein Re-Scan, harte Rate-Limits pro IP/Domain.</t>
        </is>
      </c>
    </row>
    <row r="5" ht="56" customHeight="1">
      <c r="A5" s="23" t="n">
        <v>2</v>
      </c>
      <c r="B5" s="21" t="inlineStr">
        <is>
          <t>Starter-Marge taeglich validieren</t>
        </is>
      </c>
      <c r="C5" s="22" t="inlineStr">
        <is>
          <t>EUR 49 mit 1 Domain + monatlichem Re-Scan ist nach dem Rebalance vom 18.05. enges Sweet-Spot. Stripe + Cost-per-Scan duerfen nicht &gt; 25% des Tier-Preises kommen. Sheet 2 Zelle H5 wachhalten.</t>
        </is>
      </c>
    </row>
    <row r="6" ht="56" customHeight="1">
      <c r="A6" s="23" t="n">
        <v>3</v>
      </c>
      <c r="B6" s="21" t="inlineStr">
        <is>
          <t>Growth ist das Profit-Center</t>
        </is>
      </c>
      <c r="C6" s="22" t="inlineStr">
        <is>
          <t>EUR 179 mit 3 Domains taeglich ist das Tier mit hoechster absoluter Marge. Sales-Fokus: Starter -&gt; Growth-Upgrade nach 30 Tagen.</t>
        </is>
      </c>
    </row>
    <row r="7" ht="56" customHeight="1">
      <c r="A7" s="23" t="n">
        <v>4</v>
      </c>
      <c r="B7" s="21" t="inlineStr">
        <is>
          <t>Agency-Quota an White-Label binden</t>
        </is>
      </c>
      <c r="C7" s="22" t="inlineStr">
        <is>
          <t>EUR 499 fuer 10 Kundenseiten. Wenn ein Agency-Kunde via API &gt; 10 Domains pushed, automatische Quota-Warnung. Overage-Pricing oder Upgrade-Flow.</t>
        </is>
      </c>
    </row>
    <row r="8" ht="56" customHeight="1">
      <c r="A8" s="23" t="n">
        <v>5</v>
      </c>
      <c r="B8" s="21" t="inlineStr">
        <is>
          <t>Enterprise: 'unlimited' braucht Fair-Use</t>
        </is>
      </c>
      <c r="C8" s="22" t="inlineStr">
        <is>
          <t>Vertraglich 'unlimitierte Domains' (pricing.ts). Praktisch begrenzt durch srv1622293-Kapazitaet. Fair-Use-Cap in Assumptions Sheet 1 B27 (Default 30 Domains) — bei Ueberschreitung Eskalation an Sales.</t>
        </is>
      </c>
    </row>
    <row r="9" ht="56" customHeight="1">
      <c r="A9" s="23" t="n">
        <v>6</v>
      </c>
      <c r="B9" s="21" t="inlineStr">
        <is>
          <t>Zweiter Worker-VPS vor Tenant 30</t>
        </is>
      </c>
      <c r="C9" s="22" t="inlineStr">
        <is>
          <t>Headroom (Sheet 3 B21) wird bei aktuellem Mix bereits ab ~20-30 Tenants knapp. Phase 2 starten BEVOR sustained-overload eintritt.</t>
        </is>
      </c>
    </row>
    <row r="10" ht="56" customHeight="1">
      <c r="A10" s="23" t="n">
        <v>7</v>
      </c>
      <c r="B10" s="21" t="inlineStr">
        <is>
          <t>Drift-Cron jitteren</t>
        </is>
      </c>
      <c r="C10" s="22" t="inlineStr">
        <is>
          <t>Bei taeglichem Monitoring fuer Growth + Agency: gestaffelte Slots ueber 24h, nicht alle um 00:00. Sonst Spike fuer 30-60 Min, Rest des Tages idle. Ohne Jitter: kuenstlich erzeugter Burst-Bedarf.</t>
        </is>
      </c>
    </row>
    <row r="11" ht="56" customHeight="1">
      <c r="A11" s="23" t="n">
        <v>8</v>
      </c>
      <c r="B11" s="21" t="inlineStr">
        <is>
          <t>Stripe-SEPA fuer DE-Kunden anbieten</t>
        </is>
      </c>
      <c r="C11" s="22" t="inlineStr">
        <is>
          <t>Bei EUR 49 / 179 sind 1.4% + 0.25 EUR Karten-Fee schmerzhaft (besonders fuer Starter). SEPA Direct Debit: 0.8% + 0.25 EUR. Margen-Effekt auf Starter sichtbar in Sheet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2026-05-18T08:29:05Z</dcterms:created>
  <dcterms:modified xsi:type="dcterms:W3CDTF">2026-05-18T08:29:05Z</dcterms:modified>
</cp:coreProperties>
</file>